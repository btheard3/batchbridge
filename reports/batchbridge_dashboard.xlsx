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btheard\projects\batchbridge\excel\"/>
    </mc:Choice>
  </mc:AlternateContent>
  <xr:revisionPtr revIDLastSave="0" documentId="8_{C5366DB5-B144-4CF0-84CF-24697B2624F9}" xr6:coauthVersionLast="47" xr6:coauthVersionMax="47" xr10:uidLastSave="{00000000-0000-0000-0000-000000000000}"/>
  <bookViews>
    <workbookView xWindow="-103" yWindow="-103" windowWidth="16663" windowHeight="8743" firstSheet="2" activeTab="3" xr2:uid="{00000000-000D-0000-FFFF-FFFF00000000}"/>
  </bookViews>
  <sheets>
    <sheet name="KPI_Summary" sheetId="1" r:id="rId1"/>
    <sheet name="Monthly_Metrics" sheetId="2" r:id="rId2"/>
    <sheet name="Top_Countrie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D3" i="4"/>
  <c r="C3" i="4"/>
  <c r="B3" i="4"/>
  <c r="A3" i="4"/>
</calcChain>
</file>

<file path=xl/sharedStrings.xml><?xml version="1.0" encoding="utf-8"?>
<sst xmlns="http://schemas.openxmlformats.org/spreadsheetml/2006/main" count="28" uniqueCount="25">
  <si>
    <t>Metric</t>
  </si>
  <si>
    <t>Value</t>
  </si>
  <si>
    <t>Total Revenue</t>
  </si>
  <si>
    <t>Total Transactions</t>
  </si>
  <si>
    <t>Total Customers</t>
  </si>
  <si>
    <t>Average Order Value</t>
  </si>
  <si>
    <t>Repeat Customer Rate</t>
  </si>
  <si>
    <t>total_transactions</t>
  </si>
  <si>
    <t>total_sales</t>
  </si>
  <si>
    <t>YearMonth</t>
  </si>
  <si>
    <t>Sweden</t>
  </si>
  <si>
    <t>Belgium</t>
  </si>
  <si>
    <t>Switzerland</t>
  </si>
  <si>
    <t>Spain</t>
  </si>
  <si>
    <t>Australia</t>
  </si>
  <si>
    <t>France</t>
  </si>
  <si>
    <t>Germany</t>
  </si>
  <si>
    <t>EIRE</t>
  </si>
  <si>
    <t>Netherlands</t>
  </si>
  <si>
    <t>United Kingdom</t>
  </si>
  <si>
    <t>SalesAmount</t>
  </si>
  <si>
    <t>Country</t>
  </si>
  <si>
    <t>AOV</t>
  </si>
  <si>
    <t>Repeat Rate</t>
  </si>
  <si>
    <t>E-commerce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</si>
</sst>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0" fontId="2" fillId="0" borderId="0" xfId="0" applyNumberFormat="1" applyFont="1"/>
    <xf numFmtId="0" fontId="3" fillId="0" borderId="0" xfId="0" applyFont="1" applyAlignment="1">
      <alignment horizontal="left" vertical="center" indent="9"/>
    </xf>
    <xf numFmtId="0" fontId="0" fillId="0" borderId="0" xfId="0" applyAlignment="1">
      <alignment horizontal="left" vertical="center" indent="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Monthly_Metrics!$B$1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Monthly_Metrics!$A$2:$A$14</c:f>
              <c:numCache>
                <c:formatCode>yyyy\-mm\-dd\ hh:mm:ss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Monthly_Metrics!$B$2:$B$14</c:f>
              <c:numCache>
                <c:formatCode>General</c:formatCode>
                <c:ptCount val="13"/>
                <c:pt idx="0">
                  <c:v>572713.89</c:v>
                </c:pt>
                <c:pt idx="1">
                  <c:v>569445.04</c:v>
                </c:pt>
                <c:pt idx="2">
                  <c:v>447137.35</c:v>
                </c:pt>
                <c:pt idx="3">
                  <c:v>595500.76</c:v>
                </c:pt>
                <c:pt idx="4">
                  <c:v>469200.36099999998</c:v>
                </c:pt>
                <c:pt idx="5">
                  <c:v>678594.56000000006</c:v>
                </c:pt>
                <c:pt idx="6">
                  <c:v>661213.69000000006</c:v>
                </c:pt>
                <c:pt idx="7">
                  <c:v>600091.01100000006</c:v>
                </c:pt>
                <c:pt idx="8">
                  <c:v>645343.9</c:v>
                </c:pt>
                <c:pt idx="9">
                  <c:v>952838.38199999998</c:v>
                </c:pt>
                <c:pt idx="10">
                  <c:v>1039318.79</c:v>
                </c:pt>
                <c:pt idx="11">
                  <c:v>1161817.3799999999</c:v>
                </c:pt>
                <c:pt idx="12">
                  <c:v>518192.79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2-40F3-B38E-4C812B749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242544"/>
        <c:axId val="1585243024"/>
      </c:lineChart>
      <c:dateAx>
        <c:axId val="158524254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43024"/>
        <c:crosses val="autoZero"/>
        <c:auto val="0"/>
        <c:lblOffset val="100"/>
        <c:baseTimeUnit val="months"/>
        <c:minorUnit val="1"/>
        <c:minorTimeUnit val="years"/>
      </c:dateAx>
      <c:valAx>
        <c:axId val="15852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4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Country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Top_Countries!$B$1</c:f>
              <c:strCache>
                <c:ptCount val="1"/>
                <c:pt idx="0">
                  <c:v>SalesAmount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Top_Countries!$A$2:$A$11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Top_Countries!$B$2:$B$11</c:f>
              <c:numCache>
                <c:formatCode>General</c:formatCode>
                <c:ptCount val="10"/>
                <c:pt idx="0">
                  <c:v>7308391.5539999995</c:v>
                </c:pt>
                <c:pt idx="1">
                  <c:v>285446.34000000003</c:v>
                </c:pt>
                <c:pt idx="2">
                  <c:v>265545.90000000002</c:v>
                </c:pt>
                <c:pt idx="3">
                  <c:v>228867.14</c:v>
                </c:pt>
                <c:pt idx="4">
                  <c:v>209024.05</c:v>
                </c:pt>
                <c:pt idx="5">
                  <c:v>138521.31</c:v>
                </c:pt>
                <c:pt idx="6">
                  <c:v>61577.11</c:v>
                </c:pt>
                <c:pt idx="7">
                  <c:v>56443.95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F-41B0-9E49-A77FA698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805872"/>
        <c:axId val="73760656"/>
      </c:barChart>
      <c:catAx>
        <c:axId val="75805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0656"/>
        <c:crosses val="autoZero"/>
        <c:auto val="1"/>
        <c:lblAlgn val="ctr"/>
        <c:lblOffset val="100"/>
        <c:noMultiLvlLbl val="0"/>
      </c:catAx>
      <c:valAx>
        <c:axId val="73760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124684</xdr:colOff>
      <xdr:row>4</xdr:row>
      <xdr:rowOff>165769</xdr:rowOff>
    </xdr:from>
    <xdr:to>
      <xdr:col>7</xdr:col>
      <xdr:colOff>633204</xdr:colOff>
      <xdr:row>21</xdr:row>
      <xdr:rowOff>91437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C0A9F42-B64B-BCFC-16A8-25FF8F77B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82443</xdr:colOff>
      <xdr:row>23</xdr:row>
      <xdr:rowOff>179093</xdr:rowOff>
    </xdr:from>
    <xdr:to>
      <xdr:col>7</xdr:col>
      <xdr:colOff>577101</xdr:colOff>
      <xdr:row>40</xdr:row>
      <xdr:rowOff>175576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C0CAC-20CE-10D0-01F5-A53A08727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5" sqref="B5"/>
    </sheetView>
  </sheetViews>
  <sheetFormatPr defaultRowHeight="14.6" x14ac:dyDescent="0.4"/>
  <cols>
    <col min="1" max="1" width="19.843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8911407.9039999992</v>
      </c>
    </row>
    <row r="3" spans="1:2" x14ac:dyDescent="0.4">
      <c r="A3" t="s">
        <v>3</v>
      </c>
      <c r="B3">
        <v>18532</v>
      </c>
    </row>
    <row r="4" spans="1:2" x14ac:dyDescent="0.4">
      <c r="A4" t="s">
        <v>4</v>
      </c>
      <c r="B4">
        <v>4338</v>
      </c>
    </row>
    <row r="5" spans="1:2" x14ac:dyDescent="0.4">
      <c r="A5" t="s">
        <v>5</v>
      </c>
      <c r="B5">
        <v>480.86595639974092</v>
      </c>
    </row>
    <row r="6" spans="1:2" x14ac:dyDescent="0.4">
      <c r="A6" t="s">
        <v>6</v>
      </c>
      <c r="B6">
        <v>0.65583218072844629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B5FF-16F3-4FC3-891E-A1847FEC4EE0}">
  <dimension ref="A1:C14"/>
  <sheetViews>
    <sheetView zoomScale="57" zoomScaleNormal="100" workbookViewId="0">
      <selection activeCell="K23" sqref="K23"/>
    </sheetView>
  </sheetViews>
  <sheetFormatPr defaultRowHeight="14.6" x14ac:dyDescent="0.4"/>
  <cols>
    <col min="1" max="1" width="17.765625" bestFit="1" customWidth="1"/>
    <col min="2" max="2" width="11.765625" customWidth="1"/>
    <col min="3" max="3" width="15.15234375" customWidth="1"/>
  </cols>
  <sheetData>
    <row r="1" spans="1:3" x14ac:dyDescent="0.4">
      <c r="A1" t="s">
        <v>9</v>
      </c>
      <c r="B1" t="s">
        <v>8</v>
      </c>
      <c r="C1" t="s">
        <v>7</v>
      </c>
    </row>
    <row r="2" spans="1:3" x14ac:dyDescent="0.4">
      <c r="A2" s="1">
        <v>40513</v>
      </c>
      <c r="B2">
        <v>572713.89</v>
      </c>
      <c r="C2">
        <v>1400</v>
      </c>
    </row>
    <row r="3" spans="1:3" x14ac:dyDescent="0.4">
      <c r="A3" s="1">
        <v>40544</v>
      </c>
      <c r="B3">
        <v>569445.04</v>
      </c>
      <c r="C3">
        <v>987</v>
      </c>
    </row>
    <row r="4" spans="1:3" x14ac:dyDescent="0.4">
      <c r="A4" s="1">
        <v>40575</v>
      </c>
      <c r="B4">
        <v>447137.35</v>
      </c>
      <c r="C4">
        <v>997</v>
      </c>
    </row>
    <row r="5" spans="1:3" x14ac:dyDescent="0.4">
      <c r="A5" s="1">
        <v>40603</v>
      </c>
      <c r="B5">
        <v>595500.76</v>
      </c>
      <c r="C5">
        <v>1321</v>
      </c>
    </row>
    <row r="6" spans="1:3" x14ac:dyDescent="0.4">
      <c r="A6" s="1">
        <v>40634</v>
      </c>
      <c r="B6">
        <v>469200.36099999998</v>
      </c>
      <c r="C6">
        <v>1149</v>
      </c>
    </row>
    <row r="7" spans="1:3" x14ac:dyDescent="0.4">
      <c r="A7" s="1">
        <v>40664</v>
      </c>
      <c r="B7">
        <v>678594.56000000006</v>
      </c>
      <c r="C7">
        <v>1555</v>
      </c>
    </row>
    <row r="8" spans="1:3" x14ac:dyDescent="0.4">
      <c r="A8" s="1">
        <v>40695</v>
      </c>
      <c r="B8">
        <v>661213.69000000006</v>
      </c>
      <c r="C8">
        <v>1393</v>
      </c>
    </row>
    <row r="9" spans="1:3" x14ac:dyDescent="0.4">
      <c r="A9" s="1">
        <v>40725</v>
      </c>
      <c r="B9">
        <v>600091.01100000006</v>
      </c>
      <c r="C9">
        <v>1331</v>
      </c>
    </row>
    <row r="10" spans="1:3" x14ac:dyDescent="0.4">
      <c r="A10" s="1">
        <v>40756</v>
      </c>
      <c r="B10">
        <v>645343.9</v>
      </c>
      <c r="C10">
        <v>1280</v>
      </c>
    </row>
    <row r="11" spans="1:3" x14ac:dyDescent="0.4">
      <c r="A11" s="1">
        <v>40787</v>
      </c>
      <c r="B11">
        <v>952838.38199999998</v>
      </c>
      <c r="C11">
        <v>1755</v>
      </c>
    </row>
    <row r="12" spans="1:3" x14ac:dyDescent="0.4">
      <c r="A12" s="1">
        <v>40817</v>
      </c>
      <c r="B12">
        <v>1039318.79</v>
      </c>
      <c r="C12">
        <v>1929</v>
      </c>
    </row>
    <row r="13" spans="1:3" x14ac:dyDescent="0.4">
      <c r="A13" s="1">
        <v>40848</v>
      </c>
      <c r="B13">
        <v>1161817.3799999999</v>
      </c>
      <c r="C13">
        <v>2657</v>
      </c>
    </row>
    <row r="14" spans="1:3" x14ac:dyDescent="0.4">
      <c r="A14" s="1">
        <v>40878</v>
      </c>
      <c r="B14">
        <v>518192.79</v>
      </c>
      <c r="C14">
        <v>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4972-02A7-4617-94DD-157B8766CF6E}">
  <dimension ref="A1:B11"/>
  <sheetViews>
    <sheetView zoomScale="68" zoomScaleNormal="100" workbookViewId="0">
      <selection activeCell="D16" sqref="D16"/>
    </sheetView>
  </sheetViews>
  <sheetFormatPr defaultRowHeight="14.6" x14ac:dyDescent="0.4"/>
  <cols>
    <col min="1" max="1" width="15.3046875" customWidth="1"/>
    <col min="2" max="2" width="12.53515625" customWidth="1"/>
  </cols>
  <sheetData>
    <row r="1" spans="1:2" x14ac:dyDescent="0.4">
      <c r="A1" t="s">
        <v>21</v>
      </c>
      <c r="B1" t="s">
        <v>20</v>
      </c>
    </row>
    <row r="2" spans="1:2" x14ac:dyDescent="0.4">
      <c r="A2" t="s">
        <v>19</v>
      </c>
      <c r="B2">
        <v>7308391.5539999995</v>
      </c>
    </row>
    <row r="3" spans="1:2" x14ac:dyDescent="0.4">
      <c r="A3" t="s">
        <v>18</v>
      </c>
      <c r="B3">
        <v>285446.34000000003</v>
      </c>
    </row>
    <row r="4" spans="1:2" x14ac:dyDescent="0.4">
      <c r="A4" t="s">
        <v>17</v>
      </c>
      <c r="B4">
        <v>265545.90000000002</v>
      </c>
    </row>
    <row r="5" spans="1:2" x14ac:dyDescent="0.4">
      <c r="A5" t="s">
        <v>16</v>
      </c>
      <c r="B5">
        <v>228867.14</v>
      </c>
    </row>
    <row r="6" spans="1:2" x14ac:dyDescent="0.4">
      <c r="A6" t="s">
        <v>15</v>
      </c>
      <c r="B6">
        <v>209024.05</v>
      </c>
    </row>
    <row r="7" spans="1:2" x14ac:dyDescent="0.4">
      <c r="A7" t="s">
        <v>14</v>
      </c>
      <c r="B7">
        <v>138521.31</v>
      </c>
    </row>
    <row r="8" spans="1:2" x14ac:dyDescent="0.4">
      <c r="A8" t="s">
        <v>13</v>
      </c>
      <c r="B8">
        <v>61577.11</v>
      </c>
    </row>
    <row r="9" spans="1:2" x14ac:dyDescent="0.4">
      <c r="A9" t="s">
        <v>12</v>
      </c>
      <c r="B9">
        <v>56443.95</v>
      </c>
    </row>
    <row r="10" spans="1:2" x14ac:dyDescent="0.4">
      <c r="A10" t="s">
        <v>11</v>
      </c>
      <c r="B10">
        <v>41196.339999999997</v>
      </c>
    </row>
    <row r="11" spans="1:2" x14ac:dyDescent="0.4">
      <c r="A11" t="s">
        <v>10</v>
      </c>
      <c r="B11">
        <v>38378.33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4CF2-AF02-4EDD-8F29-8B589E7DCA63}">
  <dimension ref="A1:E3"/>
  <sheetViews>
    <sheetView tabSelected="1" zoomScale="50" zoomScaleNormal="40" workbookViewId="0">
      <selection activeCell="M19" sqref="M19"/>
    </sheetView>
  </sheetViews>
  <sheetFormatPr defaultRowHeight="14.6" x14ac:dyDescent="0.4"/>
  <cols>
    <col min="1" max="1" width="29.69140625" customWidth="1"/>
    <col min="2" max="2" width="29.23046875" customWidth="1"/>
    <col min="3" max="3" width="28.61328125" customWidth="1"/>
    <col min="4" max="4" width="19" customWidth="1"/>
    <col min="5" max="5" width="26.61328125" customWidth="1"/>
  </cols>
  <sheetData>
    <row r="1" spans="1:5" ht="28.3" x14ac:dyDescent="0.4">
      <c r="A1" s="6" t="s">
        <v>24</v>
      </c>
      <c r="B1" s="7"/>
      <c r="C1" s="7"/>
      <c r="D1" s="7"/>
      <c r="E1" s="7"/>
    </row>
    <row r="2" spans="1:5" ht="18.45" x14ac:dyDescent="0.5">
      <c r="A2" s="2" t="s">
        <v>2</v>
      </c>
      <c r="B2" s="2" t="s">
        <v>3</v>
      </c>
      <c r="C2" s="2" t="s">
        <v>4</v>
      </c>
      <c r="D2" s="2" t="s">
        <v>22</v>
      </c>
      <c r="E2" s="2" t="s">
        <v>23</v>
      </c>
    </row>
    <row r="3" spans="1:5" ht="20.6" x14ac:dyDescent="0.55000000000000004">
      <c r="A3" s="4">
        <f>KPI_Summary!B2</f>
        <v>8911407.9039999992</v>
      </c>
      <c r="B3" s="3">
        <f>KPI_Summary!B3</f>
        <v>18532</v>
      </c>
      <c r="C3" s="3">
        <f>KPI_Summary!B4</f>
        <v>4338</v>
      </c>
      <c r="D3" s="4">
        <f>KPI_Summary!B5</f>
        <v>480.86595639974092</v>
      </c>
      <c r="E3" s="5">
        <f>KPI_Summary!B6</f>
        <v>0.65583218072844629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KPI_Summary</vt:lpstr>
      <vt:lpstr>Monthly_Metrics</vt:lpstr>
      <vt:lpstr>Top_Countries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Theard</cp:lastModifiedBy>
  <dcterms:created xsi:type="dcterms:W3CDTF">2026-04-15T13:16:32Z</dcterms:created>
  <dcterms:modified xsi:type="dcterms:W3CDTF">2026-04-16T04:25:06Z</dcterms:modified>
</cp:coreProperties>
</file>